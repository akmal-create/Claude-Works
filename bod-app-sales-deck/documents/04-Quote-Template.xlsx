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9" authorId="0">
      <text>
        <r>
          <rPr>
            <sz val="10"/>
            <rFont val="Arial"/>
            <family val="2"/>
          </rPr>
          <t xml:space="preserve">Assumption: 18% GST on SaaS in India. Confirm with your accountant before sending.</t>
        </r>
      </text>
    </comment>
  </commentList>
</comments>
</file>

<file path=xl/sharedStrings.xml><?xml version="1.0" encoding="utf-8"?>
<sst xmlns="http://schemas.openxmlformats.org/spreadsheetml/2006/main" count="30" uniqueCount="30">
  <si>
    <t xml:space="preserve">Bod App · Quote</t>
  </si>
  <si>
    <t xml:space="preserve">Bod Studio (Storibod Creatives) · Kochi, Kerala · bodstudio.com · +91 7356 333 965 · info@storibodcreatives.com</t>
  </si>
  <si>
    <t xml:space="preserve">FIRST DRAFT · FOR REVIEW</t>
  </si>
  <si>
    <t xml:space="preserve">Prepared for</t>
  </si>
  <si>
    <t xml:space="preserve">[Agency name]</t>
  </si>
  <si>
    <t xml:space="preserve">Contact</t>
  </si>
  <si>
    <t xml:space="preserve">[Name, phone, email]</t>
  </si>
  <si>
    <t xml:space="preserve">Quote number</t>
  </si>
  <si>
    <t xml:space="preserve">BOD-2026-001</t>
  </si>
  <si>
    <t xml:space="preserve">Date</t>
  </si>
  <si>
    <t xml:space="preserve">Valid until</t>
  </si>
  <si>
    <t xml:space="preserve">Item</t>
  </si>
  <si>
    <t xml:space="preserve">What's included</t>
  </si>
  <si>
    <t xml:space="preserve">People</t>
  </si>
  <si>
    <t xml:space="preserve">Months</t>
  </si>
  <si>
    <t xml:space="preserve">Price / person / month</t>
  </si>
  <si>
    <t xml:space="preserve">Discount</t>
  </si>
  <si>
    <t xml:space="preserve">Amount</t>
  </si>
  <si>
    <t xml:space="preserve">Free month</t>
  </si>
  <si>
    <t xml:space="preserve">Basic setup, up to 3 people</t>
  </si>
  <si>
    <t xml:space="preserve">Advanced plan</t>
  </si>
  <si>
    <t xml:space="preserve">Everything we use at Storibod</t>
  </si>
  <si>
    <t xml:space="preserve">Subtotal</t>
  </si>
  <si>
    <t xml:space="preserve">GST rate</t>
  </si>
  <si>
    <t xml:space="preserve">GST</t>
  </si>
  <si>
    <t xml:space="preserve">Total</t>
  </si>
  <si>
    <t xml:space="preserve">How to use</t>
  </si>
  <si>
    <t xml:space="preserve">Yellow cells are for you to edit. The two filled rows are examples: replace or clear them.</t>
  </si>
  <si>
    <t xml:space="preserve">Plan prices: Basic ₹199, Advanced ₹299, Premium ₹499 per person, per month.</t>
  </si>
  <si>
    <t xml:space="preserve">Terms: [add payment terms, billing cycle and cancellation terms once confirmed].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</si>
</sst>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 mmm\ yyyy"/>
    <numFmt numFmtId="166" formatCode="\₹#,##0;&quot;(₹&quot;#,##0\);\-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9"/>
      <color rgb="FF6B7773"/>
      <name val="Arial"/>
      <family val="0"/>
      <charset val="1"/>
    </font>
    <font>
      <b val="true"/>
      <sz val="8"/>
      <color rgb="FFC23B22"/>
      <name val="Arial"/>
      <family val="0"/>
      <charset val="1"/>
    </font>
    <font>
      <sz val="10"/>
      <color rgb="FF6B777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0D0C"/>
        <bgColor rgb="FF000000"/>
      </patternFill>
    </fill>
    <fill>
      <patternFill patternType="solid">
        <fgColor rgb="FFB8E62E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1E6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773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6E4"/>
      <rgbColor rgb="FFFFFF99"/>
      <rgbColor rgb="FF99CCFF"/>
      <rgbColor rgb="FFFF99CC"/>
      <rgbColor rgb="FFCC99FF"/>
      <rgbColor rgb="FFFFCC99"/>
      <rgbColor rgb="FF3366FF"/>
      <rgbColor rgb="FF33CCCC"/>
      <rgbColor rgb="FFB8E62E"/>
      <rgbColor rgb="FFFFCC00"/>
      <rgbColor rgb="FFFF9900"/>
      <rgbColor rgb="FFFF6600"/>
      <rgbColor rgb="FF666699"/>
      <rgbColor rgb="FF969696"/>
      <rgbColor rgb="FF003366"/>
      <rgbColor rgb="FF339966"/>
      <rgbColor rgb="FF0B0D0C"/>
      <rgbColor rgb="FF333300"/>
      <rgbColor rgb="FFC23B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4" min="3" style="0" width="10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6" t="n">
        <f aca="true">TODAY()</f>
        <v>46291</v>
      </c>
    </row>
    <row r="9" customFormat="false" ht="15" hidden="false" customHeight="false" outlineLevel="0" collapsed="false">
      <c r="A9" s="4" t="s">
        <v>10</v>
      </c>
      <c r="B9" s="7" t="n">
        <f aca="false">B8+15</f>
        <v>46306</v>
      </c>
    </row>
    <row r="11" customFormat="false" ht="21.75" hidden="false" customHeight="true" outlineLevel="0" collapsed="false">
      <c r="A11" s="8" t="s">
        <v>11</v>
      </c>
      <c r="B11" s="8" t="s">
        <v>12</v>
      </c>
      <c r="C11" s="9" t="s">
        <v>13</v>
      </c>
      <c r="D11" s="9" t="s">
        <v>14</v>
      </c>
      <c r="E11" s="9" t="s">
        <v>15</v>
      </c>
      <c r="F11" s="9" t="s">
        <v>16</v>
      </c>
      <c r="G11" s="9" t="s">
        <v>17</v>
      </c>
    </row>
    <row r="12" customFormat="false" ht="15" hidden="false" customHeight="false" outlineLevel="0" collapsed="false">
      <c r="A12" s="10" t="s">
        <v>18</v>
      </c>
      <c r="B12" s="10" t="s">
        <v>19</v>
      </c>
      <c r="C12" s="11" t="n">
        <v>3</v>
      </c>
      <c r="D12" s="11" t="n">
        <v>1</v>
      </c>
      <c r="E12" s="12" t="n">
        <v>0</v>
      </c>
      <c r="F12" s="13" t="n">
        <v>0</v>
      </c>
      <c r="G12" s="14" t="n">
        <f aca="false">IF(OR(C12="",D12="",E12=""),0,C12*D12*E12*(1-F12))</f>
        <v>0</v>
      </c>
    </row>
    <row r="13" customFormat="false" ht="15" hidden="false" customHeight="false" outlineLevel="0" collapsed="false">
      <c r="A13" s="10" t="s">
        <v>20</v>
      </c>
      <c r="B13" s="10" t="s">
        <v>21</v>
      </c>
      <c r="C13" s="11" t="n">
        <v>8</v>
      </c>
      <c r="D13" s="11" t="n">
        <v>12</v>
      </c>
      <c r="E13" s="12" t="n">
        <v>299</v>
      </c>
      <c r="F13" s="13" t="n">
        <v>0.1</v>
      </c>
      <c r="G13" s="14" t="n">
        <f aca="false">IF(OR(C13="",D13="",E13=""),0,C13*D13*E13*(1-F13))</f>
        <v>25833.6</v>
      </c>
    </row>
    <row r="14" customFormat="false" ht="15" hidden="false" customHeight="false" outlineLevel="0" collapsed="false">
      <c r="A14" s="10"/>
      <c r="B14" s="10"/>
      <c r="C14" s="11"/>
      <c r="D14" s="11"/>
      <c r="E14" s="12"/>
      <c r="F14" s="13"/>
      <c r="G14" s="14" t="n">
        <f aca="false">IF(OR(C14="",D14="",E14=""),0,C14*D14*E14*(1-F14))</f>
        <v>0</v>
      </c>
    </row>
    <row r="15" customFormat="false" ht="15" hidden="false" customHeight="false" outlineLevel="0" collapsed="false">
      <c r="A15" s="10"/>
      <c r="B15" s="10"/>
      <c r="C15" s="11"/>
      <c r="D15" s="11"/>
      <c r="E15" s="12"/>
      <c r="F15" s="13"/>
      <c r="G15" s="14" t="n">
        <f aca="false">IF(OR(C15="",D15="",E15=""),0,C15*D15*E15*(1-F15))</f>
        <v>0</v>
      </c>
    </row>
    <row r="16" customFormat="false" ht="15" hidden="false" customHeight="false" outlineLevel="0" collapsed="false">
      <c r="A16" s="10"/>
      <c r="B16" s="10"/>
      <c r="C16" s="11"/>
      <c r="D16" s="11"/>
      <c r="E16" s="12"/>
      <c r="F16" s="13"/>
      <c r="G16" s="14" t="n">
        <f aca="false">IF(OR(C16="",D16="",E16=""),0,C16*D16*E16*(1-F16))</f>
        <v>0</v>
      </c>
    </row>
    <row r="18" customFormat="false" ht="15" hidden="false" customHeight="false" outlineLevel="0" collapsed="false">
      <c r="F18" s="15" t="s">
        <v>22</v>
      </c>
      <c r="G18" s="16" t="n">
        <f aca="false">SUM(G12:G16)</f>
        <v>25833.6</v>
      </c>
    </row>
    <row r="19" customFormat="false" ht="15" hidden="false" customHeight="false" outlineLevel="0" collapsed="false">
      <c r="F19" s="15" t="s">
        <v>23</v>
      </c>
      <c r="G19" s="17" t="n">
        <v>0.18</v>
      </c>
    </row>
    <row r="20" customFormat="false" ht="15" hidden="false" customHeight="false" outlineLevel="0" collapsed="false">
      <c r="F20" s="15" t="s">
        <v>24</v>
      </c>
      <c r="G20" s="16" t="n">
        <f aca="false">G18*G19</f>
        <v>4650.048</v>
      </c>
    </row>
    <row r="21" customFormat="false" ht="15" hidden="false" customHeight="false" outlineLevel="0" collapsed="false">
      <c r="F21" s="18" t="s">
        <v>25</v>
      </c>
      <c r="G21" s="19" t="n">
        <f aca="false">G18+G20</f>
        <v>30483.648</v>
      </c>
    </row>
    <row r="23" customFormat="false" ht="15" hidden="false" customHeight="false" outlineLevel="0" collapsed="false">
      <c r="A23" s="20" t="s">
        <v>26</v>
      </c>
    </row>
    <row r="24" customFormat="false" ht="15" hidden="false" customHeight="false" outlineLevel="0" collapsed="false">
      <c r="A24" s="21" t="s">
        <v>27</v>
      </c>
      <c r="B24" s="21"/>
      <c r="C24" s="21"/>
      <c r="D24" s="21"/>
      <c r="E24" s="21"/>
      <c r="F24" s="21"/>
      <c r="G24" s="21"/>
    </row>
    <row r="25" customFormat="false" ht="15" hidden="false" customHeight="false" outlineLevel="0" collapsed="false">
      <c r="A25" s="21" t="s">
        <v>28</v>
      </c>
      <c r="B25" s="21"/>
      <c r="C25" s="21"/>
      <c r="D25" s="21"/>
      <c r="E25" s="21"/>
      <c r="F25" s="21"/>
      <c r="G25" s="21"/>
    </row>
    <row r="26" customFormat="false" ht="15" hidden="false" customHeight="false" outlineLevel="0" collapsed="false">
      <c r="A26" s="21" t="s">
        <v>29</v>
      </c>
      <c r="B26" s="21"/>
      <c r="C26" s="21"/>
      <c r="D26" s="21"/>
      <c r="E26" s="21"/>
      <c r="F26" s="21"/>
      <c r="G26" s="21"/>
    </row>
  </sheetData>
  <mergeCells count="3"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2026-09-26T16:49:59Z</dcterms:created>
  <dc:creator>openpyxl</dc:creator>
  <dc:description/>
  <dc:language>en-US</dc:language>
  <cp:lastModifiedBy/>
  <dcterms:modified xsi:type="dcterms:W3CDTF">2026-09-26T16:49:59Z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